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ela\Downloads\"/>
    </mc:Choice>
  </mc:AlternateContent>
  <xr:revisionPtr revIDLastSave="0" documentId="13_ncr:1_{38FD5CA2-0217-42D2-B5F9-330445AD15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etition BOM" sheetId="1" r:id="rId1"/>
    <sheet name="Cost Summary" sheetId="2" r:id="rId2"/>
  </sheets>
  <definedNames>
    <definedName name="_xlnm._FilterDatabase" localSheetId="0" hidden="1">'Competition BOM'!$A$4:$G$32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4" i="1" s="1"/>
</calcChain>
</file>

<file path=xl/sharedStrings.xml><?xml version="1.0" encoding="utf-8"?>
<sst xmlns="http://schemas.openxmlformats.org/spreadsheetml/2006/main" count="138" uniqueCount="106">
  <si>
    <t>STM32F401RE Evaluation Board – Competition BOM</t>
  </si>
  <si>
    <t>Reference</t>
  </si>
  <si>
    <t>Qty</t>
  </si>
  <si>
    <t>Value / Part</t>
  </si>
  <si>
    <t>Footprint</t>
  </si>
  <si>
    <t>Unit Cost (₹)</t>
  </si>
  <si>
    <t>Total Cost (₹)</t>
  </si>
  <si>
    <t>Price Basis / Note</t>
  </si>
  <si>
    <t>C1,C4,C5,C6,C7,C8</t>
  </si>
  <si>
    <t>100nF</t>
  </si>
  <si>
    <t>Capacitor_SMD:C_0603_1608Metric</t>
  </si>
  <si>
    <t>Indicative India component price</t>
  </si>
  <si>
    <t>C2,C3,C11,C12,C13</t>
  </si>
  <si>
    <t>10uF</t>
  </si>
  <si>
    <t>C9</t>
  </si>
  <si>
    <t>1uF</t>
  </si>
  <si>
    <t>C10</t>
  </si>
  <si>
    <t>2.2uF</t>
  </si>
  <si>
    <t>C14,C15</t>
  </si>
  <si>
    <t>18pF</t>
  </si>
  <si>
    <t>D1,D2</t>
  </si>
  <si>
    <t>LED</t>
  </si>
  <si>
    <t>LED_SMD:LED_0603_1608Metric</t>
  </si>
  <si>
    <t>D3</t>
  </si>
  <si>
    <t>1N5819W Schottky</t>
  </si>
  <si>
    <t>1N5819W:SODFL3618X110N</t>
  </si>
  <si>
    <t>D4</t>
  </si>
  <si>
    <t>D_TVS</t>
  </si>
  <si>
    <t>Diode_SMD:D_1206_3216Metric</t>
  </si>
  <si>
    <t>F1</t>
  </si>
  <si>
    <t>Polyfuse</t>
  </si>
  <si>
    <t>Fuse:Fuse_1206_3216Metric</t>
  </si>
  <si>
    <t>J1</t>
  </si>
  <si>
    <t>UART</t>
  </si>
  <si>
    <t>1x04 2.54mm vertical header</t>
  </si>
  <si>
    <t>J2</t>
  </si>
  <si>
    <t>SPI</t>
  </si>
  <si>
    <t>1x06 2.54mm vertical header</t>
  </si>
  <si>
    <t>J3</t>
  </si>
  <si>
    <t>I2C</t>
  </si>
  <si>
    <t>J4</t>
  </si>
  <si>
    <t>5V</t>
  </si>
  <si>
    <t>1x02 2.54mm vertical header</t>
  </si>
  <si>
    <t>J5</t>
  </si>
  <si>
    <t>GPIO Expansion</t>
  </si>
  <si>
    <t>1x10 2.54mm vertical header</t>
  </si>
  <si>
    <t>J6</t>
  </si>
  <si>
    <t>SWD</t>
  </si>
  <si>
    <t>1x05 2.54mm vertical header</t>
  </si>
  <si>
    <t>J7</t>
  </si>
  <si>
    <t>GT-USB-7010ASV USB-C</t>
  </si>
  <si>
    <t>Connector_USB:USB_C_Receptacle_G-Switch_GT-USB-7010ASV</t>
  </si>
  <si>
    <t>LCSC listing indicates low-cost part; ₹8 used as practical India estimate</t>
  </si>
  <si>
    <t>R1,R2</t>
  </si>
  <si>
    <t>4.7k</t>
  </si>
  <si>
    <t>Resistor_SMD:R_0603_1608Metric</t>
  </si>
  <si>
    <t>R3</t>
  </si>
  <si>
    <t>1k</t>
  </si>
  <si>
    <t>R4</t>
  </si>
  <si>
    <t>330E</t>
  </si>
  <si>
    <t>R5,R6,R7,R11</t>
  </si>
  <si>
    <t>10k</t>
  </si>
  <si>
    <t>R8,R9</t>
  </si>
  <si>
    <t>5.1k</t>
  </si>
  <si>
    <t>R10</t>
  </si>
  <si>
    <t>33k</t>
  </si>
  <si>
    <t>SW1,SW2</t>
  </si>
  <si>
    <t>SW_Push / KMR2</t>
  </si>
  <si>
    <t>Button_Switch_SMD:SW_Push_1P1T_NO_CK_KMR2</t>
  </si>
  <si>
    <t>C&amp;K KMR2 class; ₹45 used as practical estimate</t>
  </si>
  <si>
    <t>U1</t>
  </si>
  <si>
    <t>STM32F401RET6</t>
  </si>
  <si>
    <t>STM32F401RET6:QFP50P1200X1200X160-64N</t>
  </si>
  <si>
    <t>Mouser India, 1-piece indicative price</t>
  </si>
  <si>
    <t>U2</t>
  </si>
  <si>
    <t>AMS1117-3.3</t>
  </si>
  <si>
    <t>Package_TO_SOT_SMD:SOT-223-3_TabPin2</t>
  </si>
  <si>
    <t>Indian distributor indicative price</t>
  </si>
  <si>
    <t>U3</t>
  </si>
  <si>
    <t>TPS2116DRL</t>
  </si>
  <si>
    <t>TPS2116DRLR:SOTFL50P160X60-8N</t>
  </si>
  <si>
    <t>U4</t>
  </si>
  <si>
    <t>TPD2EUSB30ADRTR</t>
  </si>
  <si>
    <t>TPD2EUSB30ADRTR:SOTFL35P100X50-3N</t>
  </si>
  <si>
    <t>Mouser/DigiKey India 1-piece indicative price</t>
  </si>
  <si>
    <t>Y1</t>
  </si>
  <si>
    <t>8MHz</t>
  </si>
  <si>
    <t>Crystal:Crystal_SMD_0603-2Pin_6.0x3.5mm</t>
  </si>
  <si>
    <t>GRAND TOTAL</t>
  </si>
  <si>
    <t>Submission Notes</t>
  </si>
  <si>
    <t>• This BOM is based on the user's exported KiCad BOM (STMt1.csv).</t>
  </si>
  <si>
    <t>• Prices are estimated component costs for competition documentation, not a supplier quotation.</t>
  </si>
  <si>
    <t>• Major IC prices were checked against current Indian distributor listings where available.</t>
  </si>
  <si>
    <t>• PCB fabrication, assembly, shipping, and taxes are NOT included in the component BOM total.</t>
  </si>
  <si>
    <t>• For final procurement, replace estimates with supplier quotations/invoices if required.</t>
  </si>
  <si>
    <t>Category</t>
  </si>
  <si>
    <t>Estimated Cost (₹)</t>
  </si>
  <si>
    <t>MCU</t>
  </si>
  <si>
    <t>Power / Protection ICs</t>
  </si>
  <si>
    <t>USB / Headers</t>
  </si>
  <si>
    <t>Passives</t>
  </si>
  <si>
    <t>LEDs</t>
  </si>
  <si>
    <t>Switches</t>
  </si>
  <si>
    <t>Crystal</t>
  </si>
  <si>
    <t>TOTAL</t>
  </si>
  <si>
    <t>AMC Mark 1 Estimated component cost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</si>
</sst>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4" topLeftCell="A5" activePane="bottomLeft" state="frozen"/>
      <selection pane="bottomLeft" activeCell="D11" sqref="D11"/>
    </sheetView>
  </sheetViews>
  <sheetFormatPr defaultRowHeight="14.5" x14ac:dyDescent="0.35"/>
  <cols>
    <col min="1" max="1" width="22" customWidth="1"/>
    <col min="2" max="2" width="8" customWidth="1"/>
    <col min="3" max="3" width="28" customWidth="1"/>
    <col min="4" max="4" width="52" customWidth="1"/>
    <col min="5" max="6" width="16" customWidth="1"/>
    <col min="7" max="7" width="48" customWidth="1"/>
  </cols>
  <sheetData>
    <row r="1" spans="1:7" ht="21" x14ac:dyDescent="0.5">
      <c r="A1" s="8" t="s">
        <v>0</v>
      </c>
      <c r="B1" s="9"/>
      <c r="C1" s="9"/>
      <c r="D1" s="9"/>
      <c r="E1" s="9"/>
      <c r="F1" s="9"/>
      <c r="G1" s="9"/>
    </row>
    <row r="2" spans="1:7" x14ac:dyDescent="0.35">
      <c r="A2" s="11" t="s">
        <v>105</v>
      </c>
      <c r="B2" s="9"/>
      <c r="C2" s="9"/>
      <c r="D2" s="9"/>
      <c r="E2" s="9"/>
      <c r="F2" s="9"/>
      <c r="G2" s="9"/>
    </row>
    <row r="4" spans="1:7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" t="s">
        <v>8</v>
      </c>
      <c r="B5" s="2">
        <v>6</v>
      </c>
      <c r="C5" s="2" t="s">
        <v>9</v>
      </c>
      <c r="D5" s="2" t="s">
        <v>10</v>
      </c>
      <c r="E5" s="3">
        <v>0.5</v>
      </c>
      <c r="F5" s="3">
        <f t="shared" ref="F5:F32" si="0">B5*E5</f>
        <v>3</v>
      </c>
      <c r="G5" s="2" t="s">
        <v>11</v>
      </c>
    </row>
    <row r="6" spans="1:7" x14ac:dyDescent="0.35">
      <c r="A6" s="2" t="s">
        <v>12</v>
      </c>
      <c r="B6" s="2">
        <v>5</v>
      </c>
      <c r="C6" s="2" t="s">
        <v>13</v>
      </c>
      <c r="D6" s="2" t="s">
        <v>10</v>
      </c>
      <c r="E6" s="3">
        <v>1.5</v>
      </c>
      <c r="F6" s="3">
        <f t="shared" si="0"/>
        <v>7.5</v>
      </c>
      <c r="G6" s="2" t="s">
        <v>11</v>
      </c>
    </row>
    <row r="7" spans="1:7" x14ac:dyDescent="0.35">
      <c r="A7" s="2" t="s">
        <v>14</v>
      </c>
      <c r="B7" s="2">
        <v>1</v>
      </c>
      <c r="C7" s="2" t="s">
        <v>15</v>
      </c>
      <c r="D7" s="2" t="s">
        <v>10</v>
      </c>
      <c r="E7" s="3">
        <v>0.6</v>
      </c>
      <c r="F7" s="3">
        <f t="shared" si="0"/>
        <v>0.6</v>
      </c>
      <c r="G7" s="2" t="s">
        <v>11</v>
      </c>
    </row>
    <row r="8" spans="1:7" x14ac:dyDescent="0.35">
      <c r="A8" s="2" t="s">
        <v>16</v>
      </c>
      <c r="B8" s="2">
        <v>1</v>
      </c>
      <c r="C8" s="2" t="s">
        <v>17</v>
      </c>
      <c r="D8" s="2" t="s">
        <v>10</v>
      </c>
      <c r="E8" s="3">
        <v>0.8</v>
      </c>
      <c r="F8" s="3">
        <f t="shared" si="0"/>
        <v>0.8</v>
      </c>
      <c r="G8" s="2" t="s">
        <v>11</v>
      </c>
    </row>
    <row r="9" spans="1:7" x14ac:dyDescent="0.35">
      <c r="A9" s="2" t="s">
        <v>18</v>
      </c>
      <c r="B9" s="2">
        <v>2</v>
      </c>
      <c r="C9" s="2" t="s">
        <v>19</v>
      </c>
      <c r="D9" s="2" t="s">
        <v>10</v>
      </c>
      <c r="E9" s="3">
        <v>0.5</v>
      </c>
      <c r="F9" s="3">
        <f t="shared" si="0"/>
        <v>1</v>
      </c>
      <c r="G9" s="2" t="s">
        <v>11</v>
      </c>
    </row>
    <row r="10" spans="1:7" x14ac:dyDescent="0.35">
      <c r="A10" s="2" t="s">
        <v>20</v>
      </c>
      <c r="B10" s="2">
        <v>2</v>
      </c>
      <c r="C10" s="2" t="s">
        <v>21</v>
      </c>
      <c r="D10" s="2" t="s">
        <v>22</v>
      </c>
      <c r="E10" s="3">
        <v>1</v>
      </c>
      <c r="F10" s="3">
        <f t="shared" si="0"/>
        <v>2</v>
      </c>
      <c r="G10" s="2" t="s">
        <v>11</v>
      </c>
    </row>
    <row r="11" spans="1:7" x14ac:dyDescent="0.35">
      <c r="A11" s="2" t="s">
        <v>23</v>
      </c>
      <c r="B11" s="2">
        <v>1</v>
      </c>
      <c r="C11" s="2" t="s">
        <v>24</v>
      </c>
      <c r="D11" s="2" t="s">
        <v>25</v>
      </c>
      <c r="E11" s="3">
        <v>3</v>
      </c>
      <c r="F11" s="3">
        <f t="shared" si="0"/>
        <v>3</v>
      </c>
      <c r="G11" s="2" t="s">
        <v>11</v>
      </c>
    </row>
    <row r="12" spans="1:7" x14ac:dyDescent="0.35">
      <c r="A12" s="2" t="s">
        <v>26</v>
      </c>
      <c r="B12" s="2">
        <v>1</v>
      </c>
      <c r="C12" s="2" t="s">
        <v>27</v>
      </c>
      <c r="D12" s="2" t="s">
        <v>28</v>
      </c>
      <c r="E12" s="3">
        <v>7</v>
      </c>
      <c r="F12" s="3">
        <f t="shared" si="0"/>
        <v>7</v>
      </c>
      <c r="G12" s="2" t="s">
        <v>11</v>
      </c>
    </row>
    <row r="13" spans="1:7" x14ac:dyDescent="0.35">
      <c r="A13" s="2" t="s">
        <v>29</v>
      </c>
      <c r="B13" s="2">
        <v>1</v>
      </c>
      <c r="C13" s="2" t="s">
        <v>30</v>
      </c>
      <c r="D13" s="2" t="s">
        <v>31</v>
      </c>
      <c r="E13" s="3">
        <v>5</v>
      </c>
      <c r="F13" s="3">
        <f t="shared" si="0"/>
        <v>5</v>
      </c>
      <c r="G13" s="2" t="s">
        <v>11</v>
      </c>
    </row>
    <row r="14" spans="1:7" x14ac:dyDescent="0.35">
      <c r="A14" s="2" t="s">
        <v>32</v>
      </c>
      <c r="B14" s="2">
        <v>1</v>
      </c>
      <c r="C14" s="2" t="s">
        <v>33</v>
      </c>
      <c r="D14" s="2" t="s">
        <v>34</v>
      </c>
      <c r="E14" s="3">
        <v>4</v>
      </c>
      <c r="F14" s="3">
        <f t="shared" si="0"/>
        <v>4</v>
      </c>
      <c r="G14" s="2" t="s">
        <v>11</v>
      </c>
    </row>
    <row r="15" spans="1:7" x14ac:dyDescent="0.35">
      <c r="A15" s="2" t="s">
        <v>35</v>
      </c>
      <c r="B15" s="2">
        <v>1</v>
      </c>
      <c r="C15" s="2" t="s">
        <v>36</v>
      </c>
      <c r="D15" s="2" t="s">
        <v>37</v>
      </c>
      <c r="E15" s="3">
        <v>6</v>
      </c>
      <c r="F15" s="3">
        <f t="shared" si="0"/>
        <v>6</v>
      </c>
      <c r="G15" s="2" t="s">
        <v>11</v>
      </c>
    </row>
    <row r="16" spans="1:7" x14ac:dyDescent="0.35">
      <c r="A16" s="2" t="s">
        <v>38</v>
      </c>
      <c r="B16" s="2">
        <v>1</v>
      </c>
      <c r="C16" s="2" t="s">
        <v>39</v>
      </c>
      <c r="D16" s="2" t="s">
        <v>34</v>
      </c>
      <c r="E16" s="3">
        <v>4</v>
      </c>
      <c r="F16" s="3">
        <f t="shared" si="0"/>
        <v>4</v>
      </c>
      <c r="G16" s="2" t="s">
        <v>11</v>
      </c>
    </row>
    <row r="17" spans="1:7" x14ac:dyDescent="0.35">
      <c r="A17" s="2" t="s">
        <v>40</v>
      </c>
      <c r="B17" s="2">
        <v>1</v>
      </c>
      <c r="C17" s="2" t="s">
        <v>41</v>
      </c>
      <c r="D17" s="2" t="s">
        <v>42</v>
      </c>
      <c r="E17" s="3">
        <v>2.5</v>
      </c>
      <c r="F17" s="3">
        <f t="shared" si="0"/>
        <v>2.5</v>
      </c>
      <c r="G17" s="2" t="s">
        <v>11</v>
      </c>
    </row>
    <row r="18" spans="1:7" x14ac:dyDescent="0.35">
      <c r="A18" s="2" t="s">
        <v>43</v>
      </c>
      <c r="B18" s="2">
        <v>1</v>
      </c>
      <c r="C18" s="2" t="s">
        <v>44</v>
      </c>
      <c r="D18" s="2" t="s">
        <v>45</v>
      </c>
      <c r="E18" s="3">
        <v>10</v>
      </c>
      <c r="F18" s="3">
        <f t="shared" si="0"/>
        <v>10</v>
      </c>
      <c r="G18" s="2" t="s">
        <v>11</v>
      </c>
    </row>
    <row r="19" spans="1:7" x14ac:dyDescent="0.35">
      <c r="A19" s="2" t="s">
        <v>46</v>
      </c>
      <c r="B19" s="2">
        <v>1</v>
      </c>
      <c r="C19" s="2" t="s">
        <v>47</v>
      </c>
      <c r="D19" s="2" t="s">
        <v>48</v>
      </c>
      <c r="E19" s="3">
        <v>5</v>
      </c>
      <c r="F19" s="3">
        <f t="shared" si="0"/>
        <v>5</v>
      </c>
      <c r="G19" s="2" t="s">
        <v>11</v>
      </c>
    </row>
    <row r="20" spans="1:7" ht="29" x14ac:dyDescent="0.35">
      <c r="A20" s="2" t="s">
        <v>49</v>
      </c>
      <c r="B20" s="2">
        <v>1</v>
      </c>
      <c r="C20" s="2" t="s">
        <v>50</v>
      </c>
      <c r="D20" s="2" t="s">
        <v>51</v>
      </c>
      <c r="E20" s="3">
        <v>8</v>
      </c>
      <c r="F20" s="3">
        <f t="shared" si="0"/>
        <v>8</v>
      </c>
      <c r="G20" s="2" t="s">
        <v>52</v>
      </c>
    </row>
    <row r="21" spans="1:7" x14ac:dyDescent="0.35">
      <c r="A21" s="2" t="s">
        <v>53</v>
      </c>
      <c r="B21" s="2">
        <v>2</v>
      </c>
      <c r="C21" s="2" t="s">
        <v>54</v>
      </c>
      <c r="D21" s="2" t="s">
        <v>55</v>
      </c>
      <c r="E21" s="3">
        <v>0.25</v>
      </c>
      <c r="F21" s="3">
        <f t="shared" si="0"/>
        <v>0.5</v>
      </c>
      <c r="G21" s="2" t="s">
        <v>11</v>
      </c>
    </row>
    <row r="22" spans="1:7" x14ac:dyDescent="0.35">
      <c r="A22" s="2" t="s">
        <v>56</v>
      </c>
      <c r="B22" s="2">
        <v>1</v>
      </c>
      <c r="C22" s="2" t="s">
        <v>57</v>
      </c>
      <c r="D22" s="2" t="s">
        <v>55</v>
      </c>
      <c r="E22" s="3">
        <v>0.25</v>
      </c>
      <c r="F22" s="3">
        <f t="shared" si="0"/>
        <v>0.25</v>
      </c>
      <c r="G22" s="2" t="s">
        <v>11</v>
      </c>
    </row>
    <row r="23" spans="1:7" x14ac:dyDescent="0.35">
      <c r="A23" s="2" t="s">
        <v>58</v>
      </c>
      <c r="B23" s="2">
        <v>1</v>
      </c>
      <c r="C23" s="2" t="s">
        <v>59</v>
      </c>
      <c r="D23" s="2" t="s">
        <v>55</v>
      </c>
      <c r="E23" s="3">
        <v>0.25</v>
      </c>
      <c r="F23" s="3">
        <f t="shared" si="0"/>
        <v>0.25</v>
      </c>
      <c r="G23" s="2" t="s">
        <v>11</v>
      </c>
    </row>
    <row r="24" spans="1:7" x14ac:dyDescent="0.35">
      <c r="A24" s="2" t="s">
        <v>60</v>
      </c>
      <c r="B24" s="2">
        <v>4</v>
      </c>
      <c r="C24" s="2" t="s">
        <v>61</v>
      </c>
      <c r="D24" s="2" t="s">
        <v>55</v>
      </c>
      <c r="E24" s="3">
        <v>0.25</v>
      </c>
      <c r="F24" s="3">
        <f t="shared" si="0"/>
        <v>1</v>
      </c>
      <c r="G24" s="2" t="s">
        <v>11</v>
      </c>
    </row>
    <row r="25" spans="1:7" x14ac:dyDescent="0.35">
      <c r="A25" s="2" t="s">
        <v>62</v>
      </c>
      <c r="B25" s="2">
        <v>2</v>
      </c>
      <c r="C25" s="2" t="s">
        <v>63</v>
      </c>
      <c r="D25" s="2" t="s">
        <v>55</v>
      </c>
      <c r="E25" s="3">
        <v>0.25</v>
      </c>
      <c r="F25" s="3">
        <f t="shared" si="0"/>
        <v>0.5</v>
      </c>
      <c r="G25" s="2" t="s">
        <v>11</v>
      </c>
    </row>
    <row r="26" spans="1:7" x14ac:dyDescent="0.35">
      <c r="A26" s="2" t="s">
        <v>64</v>
      </c>
      <c r="B26" s="2">
        <v>1</v>
      </c>
      <c r="C26" s="2" t="s">
        <v>65</v>
      </c>
      <c r="D26" s="2" t="s">
        <v>55</v>
      </c>
      <c r="E26" s="3">
        <v>0.25</v>
      </c>
      <c r="F26" s="3">
        <f t="shared" si="0"/>
        <v>0.25</v>
      </c>
      <c r="G26" s="2" t="s">
        <v>11</v>
      </c>
    </row>
    <row r="27" spans="1:7" x14ac:dyDescent="0.35">
      <c r="A27" s="2" t="s">
        <v>66</v>
      </c>
      <c r="B27" s="2">
        <v>2</v>
      </c>
      <c r="C27" s="2" t="s">
        <v>67</v>
      </c>
      <c r="D27" s="2" t="s">
        <v>68</v>
      </c>
      <c r="E27" s="3">
        <v>45</v>
      </c>
      <c r="F27" s="3">
        <f t="shared" si="0"/>
        <v>90</v>
      </c>
      <c r="G27" s="2" t="s">
        <v>69</v>
      </c>
    </row>
    <row r="28" spans="1:7" x14ac:dyDescent="0.35">
      <c r="A28" s="2" t="s">
        <v>70</v>
      </c>
      <c r="B28" s="2">
        <v>1</v>
      </c>
      <c r="C28" s="2" t="s">
        <v>71</v>
      </c>
      <c r="D28" s="2" t="s">
        <v>72</v>
      </c>
      <c r="E28" s="3">
        <v>714.69</v>
      </c>
      <c r="F28" s="3">
        <f t="shared" si="0"/>
        <v>714.69</v>
      </c>
      <c r="G28" s="2" t="s">
        <v>73</v>
      </c>
    </row>
    <row r="29" spans="1:7" x14ac:dyDescent="0.35">
      <c r="A29" s="2" t="s">
        <v>74</v>
      </c>
      <c r="B29" s="2">
        <v>1</v>
      </c>
      <c r="C29" s="2" t="s">
        <v>75</v>
      </c>
      <c r="D29" s="2" t="s">
        <v>76</v>
      </c>
      <c r="E29" s="3">
        <v>4.9000000000000004</v>
      </c>
      <c r="F29" s="3">
        <f t="shared" si="0"/>
        <v>4.9000000000000004</v>
      </c>
      <c r="G29" s="2" t="s">
        <v>77</v>
      </c>
    </row>
    <row r="30" spans="1:7" x14ac:dyDescent="0.35">
      <c r="A30" s="2" t="s">
        <v>78</v>
      </c>
      <c r="B30" s="2">
        <v>1</v>
      </c>
      <c r="C30" s="2" t="s">
        <v>79</v>
      </c>
      <c r="D30" s="2" t="s">
        <v>80</v>
      </c>
      <c r="E30" s="3">
        <v>45</v>
      </c>
      <c r="F30" s="3">
        <f t="shared" si="0"/>
        <v>45</v>
      </c>
      <c r="G30" s="2" t="s">
        <v>11</v>
      </c>
    </row>
    <row r="31" spans="1:7" x14ac:dyDescent="0.35">
      <c r="A31" s="2" t="s">
        <v>81</v>
      </c>
      <c r="B31" s="2">
        <v>1</v>
      </c>
      <c r="C31" s="2" t="s">
        <v>82</v>
      </c>
      <c r="D31" s="2" t="s">
        <v>83</v>
      </c>
      <c r="E31" s="3">
        <v>94.11</v>
      </c>
      <c r="F31" s="3">
        <f t="shared" si="0"/>
        <v>94.11</v>
      </c>
      <c r="G31" s="2" t="s">
        <v>84</v>
      </c>
    </row>
    <row r="32" spans="1:7" x14ac:dyDescent="0.35">
      <c r="A32" s="2" t="s">
        <v>85</v>
      </c>
      <c r="B32" s="2">
        <v>1</v>
      </c>
      <c r="C32" s="2" t="s">
        <v>86</v>
      </c>
      <c r="D32" s="2" t="s">
        <v>87</v>
      </c>
      <c r="E32" s="3">
        <v>8</v>
      </c>
      <c r="F32" s="3">
        <f t="shared" si="0"/>
        <v>8</v>
      </c>
      <c r="G32" s="2" t="s">
        <v>11</v>
      </c>
    </row>
    <row r="34" spans="1:7" x14ac:dyDescent="0.35">
      <c r="E34" s="4" t="s">
        <v>88</v>
      </c>
      <c r="F34" s="5">
        <f>SUM(F5:F32)</f>
        <v>1028.8499999999999</v>
      </c>
    </row>
    <row r="37" spans="1:7" ht="15.5" x14ac:dyDescent="0.35">
      <c r="A37" s="12" t="s">
        <v>89</v>
      </c>
      <c r="B37" s="9"/>
      <c r="C37" s="9"/>
      <c r="D37" s="9"/>
      <c r="E37" s="9"/>
      <c r="F37" s="9"/>
      <c r="G37" s="9"/>
    </row>
    <row r="38" spans="1:7" x14ac:dyDescent="0.35">
      <c r="A38" s="10" t="s">
        <v>90</v>
      </c>
      <c r="B38" s="9"/>
      <c r="C38" s="9"/>
      <c r="D38" s="9"/>
      <c r="E38" s="9"/>
      <c r="F38" s="9"/>
      <c r="G38" s="9"/>
    </row>
    <row r="39" spans="1:7" x14ac:dyDescent="0.35">
      <c r="A39" s="10" t="s">
        <v>91</v>
      </c>
      <c r="B39" s="9"/>
      <c r="C39" s="9"/>
      <c r="D39" s="9"/>
      <c r="E39" s="9"/>
      <c r="F39" s="9"/>
      <c r="G39" s="9"/>
    </row>
    <row r="40" spans="1:7" x14ac:dyDescent="0.35">
      <c r="A40" s="10" t="s">
        <v>92</v>
      </c>
      <c r="B40" s="9"/>
      <c r="C40" s="9"/>
      <c r="D40" s="9"/>
      <c r="E40" s="9"/>
      <c r="F40" s="9"/>
      <c r="G40" s="9"/>
    </row>
    <row r="41" spans="1:7" x14ac:dyDescent="0.35">
      <c r="A41" s="10" t="s">
        <v>93</v>
      </c>
      <c r="B41" s="9"/>
      <c r="C41" s="9"/>
      <c r="D41" s="9"/>
      <c r="E41" s="9"/>
      <c r="F41" s="9"/>
      <c r="G41" s="9"/>
    </row>
    <row r="42" spans="1:7" x14ac:dyDescent="0.35">
      <c r="A42" s="10" t="s">
        <v>94</v>
      </c>
      <c r="B42" s="9"/>
      <c r="C42" s="9"/>
      <c r="D42" s="9"/>
      <c r="E42" s="9"/>
      <c r="F42" s="9"/>
      <c r="G42" s="9"/>
    </row>
  </sheetData>
  <autoFilter ref="A4:G32" xr:uid="{00000000-0009-0000-0000-000000000000}"/>
  <mergeCells count="8">
    <mergeCell ref="A41:G41"/>
    <mergeCell ref="A42:G42"/>
    <mergeCell ref="A37:G37"/>
    <mergeCell ref="A1:G1"/>
    <mergeCell ref="A40:G40"/>
    <mergeCell ref="A39:G39"/>
    <mergeCell ref="A38:G38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28" customWidth="1"/>
    <col min="2" max="2" width="20" customWidth="1"/>
  </cols>
  <sheetData>
    <row r="1" spans="1:2" x14ac:dyDescent="0.35">
      <c r="A1" s="6" t="s">
        <v>95</v>
      </c>
      <c r="B1" s="6" t="s">
        <v>96</v>
      </c>
    </row>
    <row r="2" spans="1:2" x14ac:dyDescent="0.35">
      <c r="A2" t="s">
        <v>97</v>
      </c>
      <c r="B2" s="7">
        <v>714.69</v>
      </c>
    </row>
    <row r="3" spans="1:2" x14ac:dyDescent="0.35">
      <c r="A3" t="s">
        <v>98</v>
      </c>
      <c r="B3" s="7">
        <v>159.01</v>
      </c>
    </row>
    <row r="4" spans="1:2" x14ac:dyDescent="0.35">
      <c r="A4" t="s">
        <v>99</v>
      </c>
      <c r="B4" s="7">
        <v>39.5</v>
      </c>
    </row>
    <row r="5" spans="1:2" x14ac:dyDescent="0.35">
      <c r="A5" t="s">
        <v>100</v>
      </c>
      <c r="B5" s="7">
        <v>15.65</v>
      </c>
    </row>
    <row r="6" spans="1:2" x14ac:dyDescent="0.35">
      <c r="A6" t="s">
        <v>101</v>
      </c>
      <c r="B6" s="7">
        <v>2</v>
      </c>
    </row>
    <row r="7" spans="1:2" x14ac:dyDescent="0.35">
      <c r="A7" t="s">
        <v>102</v>
      </c>
      <c r="B7" s="7">
        <v>90</v>
      </c>
    </row>
    <row r="8" spans="1:2" x14ac:dyDescent="0.35">
      <c r="A8" t="s">
        <v>103</v>
      </c>
      <c r="B8" s="7">
        <v>8</v>
      </c>
    </row>
    <row r="9" spans="1:2" x14ac:dyDescent="0.35">
      <c r="A9" t="s">
        <v>104</v>
      </c>
      <c r="B9" s="7">
        <f>SUM(B2:B8)</f>
        <v>1028.8499999999999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Competition BOM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THOMAS</cp:lastModifiedBy>
  <dcterms:created xsi:type="dcterms:W3CDTF">2026-09-16T15:06:18Z</dcterms:created>
  <dcterms:modified xsi:type="dcterms:W3CDTF">2026-09-16T15:10:33Z</dcterms:modified>
</cp:coreProperties>
</file>